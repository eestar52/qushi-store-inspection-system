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SCoW功能优先级矩阵" sheetId="1" state="visible" r:id="rId3"/>
    <sheet name="巡检数据分析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<sst xmlns="http://schemas.openxmlformats.org/spreadsheetml/2006/main" count="168" uniqueCount="111">
  <si>
    <r>
      <rPr>
        <b val="true"/>
        <sz val="14"/>
        <color rgb="FFFFFFFF"/>
        <rFont val="Noto Sans CJK SC"/>
        <family val="2"/>
      </rPr>
      <t xml:space="preserve">衢食严选 </t>
    </r>
    <r>
      <rPr>
        <b val="true"/>
        <sz val="14"/>
        <color rgb="FFFFFFFF"/>
        <rFont val="Arial"/>
        <family val="0"/>
        <charset val="1"/>
      </rPr>
      <t xml:space="preserve">· </t>
    </r>
    <r>
      <rPr>
        <b val="true"/>
        <sz val="14"/>
        <color rgb="FFFFFFFF"/>
        <rFont val="Noto Sans CJK SC"/>
        <family val="2"/>
      </rPr>
      <t xml:space="preserve">门店巡检管理系统  功能优先级矩阵（</t>
    </r>
    <r>
      <rPr>
        <b val="true"/>
        <sz val="14"/>
        <color rgb="FFFFFFFF"/>
        <rFont val="Arial"/>
        <family val="0"/>
        <charset val="1"/>
      </rPr>
      <t xml:space="preserve">MoSCoW</t>
    </r>
    <r>
      <rPr>
        <b val="true"/>
        <sz val="14"/>
        <color rgb="FFFFFFFF"/>
        <rFont val="Noto Sans CJK SC"/>
        <family val="2"/>
      </rPr>
      <t xml:space="preserve">）</t>
    </r>
  </si>
  <si>
    <r>
      <rPr>
        <sz val="10"/>
        <color rgb="FF1F5FAA"/>
        <rFont val="Noto Sans CJK SC"/>
        <family val="2"/>
      </rPr>
      <t xml:space="preserve">制作：李晓琳（产品助理）  </t>
    </r>
    <r>
      <rPr>
        <sz val="10"/>
        <color rgb="FF1F5FAA"/>
        <rFont val="Arial"/>
        <family val="0"/>
        <charset val="1"/>
      </rPr>
      <t xml:space="preserve">|  </t>
    </r>
    <r>
      <rPr>
        <sz val="10"/>
        <color rgb="FF1F5FAA"/>
        <rFont val="Noto Sans CJK SC"/>
        <family val="2"/>
      </rPr>
      <t xml:space="preserve">日期：</t>
    </r>
    <r>
      <rPr>
        <sz val="10"/>
        <color rgb="FF1F5FAA"/>
        <rFont val="Arial"/>
        <family val="0"/>
        <charset val="1"/>
      </rPr>
      <t xml:space="preserve">2024</t>
    </r>
    <r>
      <rPr>
        <sz val="10"/>
        <color rgb="FF1F5FAA"/>
        <rFont val="Noto Sans CJK SC"/>
        <family val="2"/>
      </rPr>
      <t xml:space="preserve">年</t>
    </r>
    <r>
      <rPr>
        <sz val="10"/>
        <color rgb="FF1F5FAA"/>
        <rFont val="Arial"/>
        <family val="0"/>
        <charset val="1"/>
      </rPr>
      <t xml:space="preserve">09</t>
    </r>
    <r>
      <rPr>
        <sz val="10"/>
        <color rgb="FF1F5FAA"/>
        <rFont val="Noto Sans CJK SC"/>
        <family val="2"/>
      </rPr>
      <t xml:space="preserve">月  </t>
    </r>
    <r>
      <rPr>
        <sz val="10"/>
        <color rgb="FF1F5FAA"/>
        <rFont val="Arial"/>
        <family val="0"/>
        <charset val="1"/>
      </rPr>
      <t xml:space="preserve">|  </t>
    </r>
    <r>
      <rPr>
        <sz val="10"/>
        <color rgb="FF1F5FAA"/>
        <rFont val="Noto Sans CJK SC"/>
        <family val="2"/>
      </rPr>
      <t xml:space="preserve">版本：</t>
    </r>
    <r>
      <rPr>
        <sz val="10"/>
        <color rgb="FF1F5FAA"/>
        <rFont val="Arial"/>
        <family val="0"/>
        <charset val="1"/>
      </rPr>
      <t xml:space="preserve">V1.0/V1.1</t>
    </r>
  </si>
  <si>
    <r>
      <rPr>
        <b val="true"/>
        <sz val="10"/>
        <color rgb="FFFFFFFF"/>
        <rFont val="Arial"/>
        <family val="0"/>
        <charset val="1"/>
      </rPr>
      <t xml:space="preserve">MoSCoW</t>
    </r>
    <r>
      <rPr>
        <b val="true"/>
        <sz val="10"/>
        <color rgb="FFFFFFFF"/>
        <rFont val="Noto Sans CJK SC"/>
        <family val="2"/>
      </rPr>
      <t xml:space="preserve">等级</t>
    </r>
  </si>
  <si>
    <t xml:space="preserve">功能模块</t>
  </si>
  <si>
    <t xml:space="preserve">功能描述</t>
  </si>
  <si>
    <t xml:space="preserve">核心价值</t>
  </si>
  <si>
    <t xml:space="preserve">负责端</t>
  </si>
  <si>
    <t xml:space="preserve">预估工期</t>
  </si>
  <si>
    <t xml:space="preserve">版本</t>
  </si>
  <si>
    <t xml:space="preserve">责任人</t>
  </si>
  <si>
    <t xml:space="preserve">状态</t>
  </si>
  <si>
    <r>
      <rPr>
        <b val="true"/>
        <sz val="9"/>
        <color rgb="FFC0392B"/>
        <rFont val="Arial"/>
        <family val="0"/>
        <charset val="1"/>
      </rPr>
      <t xml:space="preserve">M - Must Have
</t>
    </r>
    <r>
      <rPr>
        <b val="true"/>
        <sz val="9"/>
        <color rgb="FFC0392B"/>
        <rFont val="Noto Sans CJK SC"/>
        <family val="2"/>
      </rPr>
      <t xml:space="preserve">（必须有）</t>
    </r>
  </si>
  <si>
    <t xml:space="preserve">巡检任务派发</t>
  </si>
  <si>
    <r>
      <rPr>
        <sz val="9"/>
        <color rgb="FF333333"/>
        <rFont val="Noto Sans CJK SC"/>
        <family val="2"/>
      </rPr>
      <t xml:space="preserve">支持按门店</t>
    </r>
    <r>
      <rPr>
        <sz val="9"/>
        <color rgb="FF333333"/>
        <rFont val="Arial"/>
        <family val="0"/>
        <charset val="1"/>
      </rPr>
      <t xml:space="preserve">/</t>
    </r>
    <r>
      <rPr>
        <sz val="9"/>
        <color rgb="FF333333"/>
        <rFont val="Noto Sans CJK SC"/>
        <family val="2"/>
      </rPr>
      <t xml:space="preserve">区域</t>
    </r>
    <r>
      <rPr>
        <sz val="9"/>
        <color rgb="FF333333"/>
        <rFont val="Arial"/>
        <family val="0"/>
        <charset val="1"/>
      </rPr>
      <t xml:space="preserve">/</t>
    </r>
    <r>
      <rPr>
        <sz val="9"/>
        <color rgb="FF333333"/>
        <rFont val="Noto Sans CJK SC"/>
        <family val="2"/>
      </rPr>
      <t xml:space="preserve">巡检员批量创建巡检任务，设置执行时间窗口及优先级</t>
    </r>
  </si>
  <si>
    <t xml:space="preserve">核心工作流起点，无此功能产品无法运转</t>
  </si>
  <si>
    <r>
      <rPr>
        <sz val="9"/>
        <color rgb="FF333333"/>
        <rFont val="Arial"/>
        <family val="0"/>
        <charset val="1"/>
      </rPr>
      <t xml:space="preserve">PC</t>
    </r>
    <r>
      <rPr>
        <sz val="9"/>
        <color rgb="FF333333"/>
        <rFont val="Noto Sans CJK SC"/>
        <family val="2"/>
      </rPr>
      <t xml:space="preserve">端</t>
    </r>
  </si>
  <si>
    <r>
      <rPr>
        <sz val="9"/>
        <color rgb="FF333333"/>
        <rFont val="Arial"/>
        <family val="0"/>
        <charset val="1"/>
      </rPr>
      <t xml:space="preserve">5</t>
    </r>
    <r>
      <rPr>
        <sz val="9"/>
        <color rgb="FF333333"/>
        <rFont val="Noto Sans CJK SC"/>
        <family val="2"/>
      </rPr>
      <t xml:space="preserve">天</t>
    </r>
  </si>
  <si>
    <t xml:space="preserve">V1.0</t>
  </si>
  <si>
    <t xml:space="preserve">研发一组</t>
  </si>
  <si>
    <t xml:space="preserve">已上线</t>
  </si>
  <si>
    <t xml:space="preserve">移动端巡检表单</t>
  </si>
  <si>
    <r>
      <rPr>
        <sz val="9"/>
        <color rgb="FF333333"/>
        <rFont val="Noto Sans CJK SC"/>
        <family val="2"/>
      </rPr>
      <t xml:space="preserve">按评分项逐条填写，支持拍照上传（单项最多</t>
    </r>
    <r>
      <rPr>
        <sz val="9"/>
        <color rgb="FF333333"/>
        <rFont val="Arial"/>
        <family val="0"/>
        <charset val="1"/>
      </rPr>
      <t xml:space="preserve">5</t>
    </r>
    <r>
      <rPr>
        <sz val="9"/>
        <color rgb="FF333333"/>
        <rFont val="Noto Sans CJK SC"/>
        <family val="2"/>
      </rPr>
      <t xml:space="preserve">张），</t>
    </r>
    <r>
      <rPr>
        <sz val="9"/>
        <color rgb="FF333333"/>
        <rFont val="Arial"/>
        <family val="0"/>
        <charset val="1"/>
      </rPr>
      <t xml:space="preserve">GPS</t>
    </r>
    <r>
      <rPr>
        <sz val="9"/>
        <color rgb="FF333333"/>
        <rFont val="Noto Sans CJK SC"/>
        <family val="2"/>
      </rPr>
      <t xml:space="preserve">打卡定位，支持离线缓存</t>
    </r>
  </si>
  <si>
    <t xml:space="preserve">巡检员核心使用场景，直接影响推广成败</t>
  </si>
  <si>
    <t xml:space="preserve">移动端</t>
  </si>
  <si>
    <r>
      <rPr>
        <sz val="9"/>
        <color rgb="FF333333"/>
        <rFont val="Arial"/>
        <family val="0"/>
        <charset val="1"/>
      </rPr>
      <t xml:space="preserve">8</t>
    </r>
    <r>
      <rPr>
        <sz val="9"/>
        <color rgb="FF333333"/>
        <rFont val="Noto Sans CJK SC"/>
        <family val="2"/>
      </rPr>
      <t xml:space="preserve">天</t>
    </r>
  </si>
  <si>
    <t xml:space="preserve">研发二组</t>
  </si>
  <si>
    <t xml:space="preserve">整改工单生成</t>
  </si>
  <si>
    <t xml:space="preserve">问题项自动生成整改工单，关联巡检记录，支持指定责任人及整改截止日期</t>
  </si>
  <si>
    <t xml:space="preserve">建立整改闭环的核心机制</t>
  </si>
  <si>
    <t xml:space="preserve">双端</t>
  </si>
  <si>
    <r>
      <rPr>
        <sz val="9"/>
        <color rgb="FF333333"/>
        <rFont val="Arial"/>
        <family val="0"/>
        <charset val="1"/>
      </rPr>
      <t xml:space="preserve">6</t>
    </r>
    <r>
      <rPr>
        <sz val="9"/>
        <color rgb="FF333333"/>
        <rFont val="Noto Sans CJK SC"/>
        <family val="2"/>
      </rPr>
      <t xml:space="preserve">天</t>
    </r>
  </si>
  <si>
    <t xml:space="preserve">数据统计看板</t>
  </si>
  <si>
    <t xml:space="preserve">门店评分排行榜、区域整改完成率趋势、问题类型分布饼图，实时数据展示</t>
  </si>
  <si>
    <t xml:space="preserve">管理层决策依据，产品价值直接体现</t>
  </si>
  <si>
    <r>
      <rPr>
        <sz val="9"/>
        <color rgb="FF333333"/>
        <rFont val="Arial"/>
        <family val="0"/>
        <charset val="1"/>
      </rPr>
      <t xml:space="preserve">7</t>
    </r>
    <r>
      <rPr>
        <sz val="9"/>
        <color rgb="FF333333"/>
        <rFont val="Noto Sans CJK SC"/>
        <family val="2"/>
      </rPr>
      <t xml:space="preserve">天</t>
    </r>
  </si>
  <si>
    <r>
      <rPr>
        <b val="true"/>
        <sz val="9"/>
        <color rgb="FFE89A00"/>
        <rFont val="Arial"/>
        <family val="0"/>
        <charset val="1"/>
      </rPr>
      <t xml:space="preserve">S - Should Have
</t>
    </r>
    <r>
      <rPr>
        <b val="true"/>
        <sz val="9"/>
        <color rgb="FFE89A00"/>
        <rFont val="Noto Sans CJK SC"/>
        <family val="2"/>
      </rPr>
      <t xml:space="preserve">（应该有）</t>
    </r>
  </si>
  <si>
    <t xml:space="preserve">消息通知推送</t>
  </si>
  <si>
    <r>
      <rPr>
        <sz val="9"/>
        <color rgb="FF333333"/>
        <rFont val="Noto Sans CJK SC"/>
        <family val="2"/>
      </rPr>
      <t xml:space="preserve">整改任务到期提醒、新巡检任务推送、验收结果通知，支持</t>
    </r>
    <r>
      <rPr>
        <sz val="9"/>
        <color rgb="FF333333"/>
        <rFont val="Arial"/>
        <family val="0"/>
        <charset val="1"/>
      </rPr>
      <t xml:space="preserve">App</t>
    </r>
    <r>
      <rPr>
        <sz val="9"/>
        <color rgb="FF333333"/>
        <rFont val="Noto Sans CJK SC"/>
        <family val="2"/>
      </rPr>
      <t xml:space="preserve">内消息</t>
    </r>
  </si>
  <si>
    <t xml:space="preserve">显著提升整改完成率，用户体验关键环节</t>
  </si>
  <si>
    <r>
      <rPr>
        <sz val="9"/>
        <color rgb="FF333333"/>
        <rFont val="Arial"/>
        <family val="0"/>
        <charset val="1"/>
      </rPr>
      <t xml:space="preserve">3</t>
    </r>
    <r>
      <rPr>
        <sz val="9"/>
        <color rgb="FF333333"/>
        <rFont val="Noto Sans CJK SC"/>
        <family val="2"/>
      </rPr>
      <t xml:space="preserve">天</t>
    </r>
  </si>
  <si>
    <t xml:space="preserve">账号权限管理</t>
  </si>
  <si>
    <r>
      <rPr>
        <sz val="9"/>
        <color rgb="FF333333"/>
        <rFont val="Noto Sans CJK SC"/>
        <family val="2"/>
      </rPr>
      <t xml:space="preserve">按角色（总部</t>
    </r>
    <r>
      <rPr>
        <sz val="9"/>
        <color rgb="FF333333"/>
        <rFont val="Arial"/>
        <family val="0"/>
        <charset val="1"/>
      </rPr>
      <t xml:space="preserve">/</t>
    </r>
    <r>
      <rPr>
        <sz val="9"/>
        <color rgb="FF333333"/>
        <rFont val="Noto Sans CJK SC"/>
        <family val="2"/>
      </rPr>
      <t xml:space="preserve">区域经理</t>
    </r>
    <r>
      <rPr>
        <sz val="9"/>
        <color rgb="FF333333"/>
        <rFont val="Arial"/>
        <family val="0"/>
        <charset val="1"/>
      </rPr>
      <t xml:space="preserve">/</t>
    </r>
    <r>
      <rPr>
        <sz val="9"/>
        <color rgb="FF333333"/>
        <rFont val="Noto Sans CJK SC"/>
        <family val="2"/>
      </rPr>
      <t xml:space="preserve">门店店长）分级权限设置，控制数据可见范围</t>
    </r>
  </si>
  <si>
    <t xml:space="preserve">多角色协作必需，保障数据安全</t>
  </si>
  <si>
    <r>
      <rPr>
        <sz val="9"/>
        <color rgb="FF333333"/>
        <rFont val="Arial"/>
        <family val="0"/>
        <charset val="1"/>
      </rPr>
      <t xml:space="preserve">4</t>
    </r>
    <r>
      <rPr>
        <sz val="9"/>
        <color rgb="FF333333"/>
        <rFont val="Noto Sans CJK SC"/>
        <family val="2"/>
      </rPr>
      <t xml:space="preserve">天</t>
    </r>
  </si>
  <si>
    <t xml:space="preserve">智能预警模块</t>
  </si>
  <si>
    <r>
      <rPr>
        <sz val="9"/>
        <color rgb="FF333333"/>
        <rFont val="Noto Sans CJK SC"/>
        <family val="2"/>
      </rPr>
      <t xml:space="preserve">连续</t>
    </r>
    <r>
      <rPr>
        <sz val="9"/>
        <color rgb="FF333333"/>
        <rFont val="Arial"/>
        <family val="0"/>
        <charset val="1"/>
      </rPr>
      <t xml:space="preserve">2</t>
    </r>
    <r>
      <rPr>
        <sz val="9"/>
        <color rgb="FF333333"/>
        <rFont val="Noto Sans CJK SC"/>
        <family val="2"/>
      </rPr>
      <t xml:space="preserve">次评分</t>
    </r>
    <r>
      <rPr>
        <sz val="9"/>
        <color rgb="FF333333"/>
        <rFont val="Arial"/>
        <family val="0"/>
        <charset val="1"/>
      </rPr>
      <t xml:space="preserve">&lt;60</t>
    </r>
    <r>
      <rPr>
        <sz val="9"/>
        <color rgb="FF333333"/>
        <rFont val="Noto Sans CJK SC"/>
        <family val="2"/>
      </rPr>
      <t xml:space="preserve">分自动触发红色预警，推送通知至区域经理及运营总监，需人工确认关闭</t>
    </r>
  </si>
  <si>
    <t xml:space="preserve">数据驱动运营，主动发现高风险门店</t>
  </si>
  <si>
    <t xml:space="preserve">V1.1</t>
  </si>
  <si>
    <t xml:space="preserve">整改截止提醒</t>
  </si>
  <si>
    <r>
      <rPr>
        <sz val="9"/>
        <color rgb="FF333333"/>
        <rFont val="Noto Sans CJK SC"/>
        <family val="2"/>
      </rPr>
      <t xml:space="preserve">工单截止日期前</t>
    </r>
    <r>
      <rPr>
        <sz val="9"/>
        <color rgb="FF333333"/>
        <rFont val="Arial"/>
        <family val="0"/>
        <charset val="1"/>
      </rPr>
      <t xml:space="preserve">48h/24h</t>
    </r>
    <r>
      <rPr>
        <sz val="9"/>
        <color rgb="FF333333"/>
        <rFont val="Noto Sans CJK SC"/>
        <family val="2"/>
      </rPr>
      <t xml:space="preserve">自动推送消息提醒，支持责任人在</t>
    </r>
    <r>
      <rPr>
        <sz val="9"/>
        <color rgb="FF333333"/>
        <rFont val="Arial"/>
        <family val="0"/>
        <charset val="1"/>
      </rPr>
      <t xml:space="preserve">App</t>
    </r>
    <r>
      <rPr>
        <sz val="9"/>
        <color rgb="FF333333"/>
        <rFont val="Noto Sans CJK SC"/>
        <family val="2"/>
      </rPr>
      <t xml:space="preserve">内确认接收</t>
    </r>
  </si>
  <si>
    <t xml:space="preserve">解决「不知道截止日期」的核心痛点</t>
  </si>
  <si>
    <r>
      <rPr>
        <sz val="9"/>
        <color rgb="FF333333"/>
        <rFont val="Arial"/>
        <family val="0"/>
        <charset val="1"/>
      </rPr>
      <t xml:space="preserve">2</t>
    </r>
    <r>
      <rPr>
        <sz val="9"/>
        <color rgb="FF333333"/>
        <rFont val="Noto Sans CJK SC"/>
        <family val="2"/>
      </rPr>
      <t xml:space="preserve">天</t>
    </r>
  </si>
  <si>
    <r>
      <rPr>
        <b val="true"/>
        <sz val="9"/>
        <color rgb="FF2D9E5F"/>
        <rFont val="Arial"/>
        <family val="0"/>
        <charset val="1"/>
      </rPr>
      <t xml:space="preserve">C - Could Have
</t>
    </r>
    <r>
      <rPr>
        <b val="true"/>
        <sz val="9"/>
        <color rgb="FF2D9E5F"/>
        <rFont val="Noto Sans CJK SC"/>
        <family val="2"/>
      </rPr>
      <t xml:space="preserve">（可以有）</t>
    </r>
  </si>
  <si>
    <t xml:space="preserve">标准知识库</t>
  </si>
  <si>
    <t xml:space="preserve">巡检评分标准文档、操作规范手册在线查阅，支持关键词搜索，支持收藏</t>
  </si>
  <si>
    <t xml:space="preserve">降低培训成本，提升新员工上手速度</t>
  </si>
  <si>
    <t xml:space="preserve">历史记录对比</t>
  </si>
  <si>
    <t xml:space="preserve">支持同一门店多次巡检结果横向对比，可视化呈现问题改善趋势</t>
  </si>
  <si>
    <t xml:space="preserve">辅助区域经理做纵向分析，提升决策质量</t>
  </si>
  <si>
    <t xml:space="preserve">V1.2</t>
  </si>
  <si>
    <t xml:space="preserve">规划中</t>
  </si>
  <si>
    <t xml:space="preserve">巡检路线推荐</t>
  </si>
  <si>
    <r>
      <rPr>
        <sz val="9"/>
        <color rgb="FF333333"/>
        <rFont val="Noto Sans CJK SC"/>
        <family val="2"/>
      </rPr>
      <t xml:space="preserve">基于</t>
    </r>
    <r>
      <rPr>
        <sz val="9"/>
        <color rgb="FF333333"/>
        <rFont val="Arial"/>
        <family val="0"/>
        <charset val="1"/>
      </rPr>
      <t xml:space="preserve">GPS</t>
    </r>
    <r>
      <rPr>
        <sz val="9"/>
        <color rgb="FF333333"/>
        <rFont val="Noto Sans CJK SC"/>
        <family val="2"/>
      </rPr>
      <t xml:space="preserve">位置和任务数量，推荐当日最优巡检路线，减少交通时间</t>
    </r>
  </si>
  <si>
    <t xml:space="preserve">提升巡检效率，减少路途浪费</t>
  </si>
  <si>
    <r>
      <rPr>
        <b val="true"/>
        <sz val="9"/>
        <color rgb="FF444444"/>
        <rFont val="Arial"/>
        <family val="0"/>
        <charset val="1"/>
      </rPr>
      <t xml:space="preserve">W - Won't Have
</t>
    </r>
    <r>
      <rPr>
        <b val="true"/>
        <sz val="9"/>
        <color rgb="FF444444"/>
        <rFont val="Noto Sans CJK SC"/>
        <family val="2"/>
      </rPr>
      <t xml:space="preserve">（暂不做）</t>
    </r>
  </si>
  <si>
    <r>
      <rPr>
        <sz val="9"/>
        <color rgb="FF333333"/>
        <rFont val="Arial"/>
        <family val="0"/>
        <charset val="1"/>
      </rPr>
      <t xml:space="preserve">AI</t>
    </r>
    <r>
      <rPr>
        <sz val="9"/>
        <color rgb="FF333333"/>
        <rFont val="Noto Sans CJK SC"/>
        <family val="2"/>
      </rPr>
      <t xml:space="preserve">智能识别</t>
    </r>
  </si>
  <si>
    <r>
      <rPr>
        <sz val="9"/>
        <color rgb="FF333333"/>
        <rFont val="Noto Sans CJK SC"/>
        <family val="2"/>
      </rPr>
      <t xml:space="preserve">通过</t>
    </r>
    <r>
      <rPr>
        <sz val="9"/>
        <color rgb="FF333333"/>
        <rFont val="Arial"/>
        <family val="0"/>
        <charset val="1"/>
      </rPr>
      <t xml:space="preserve">AI</t>
    </r>
    <r>
      <rPr>
        <sz val="9"/>
        <color rgb="FF333333"/>
        <rFont val="Noto Sans CJK SC"/>
        <family val="2"/>
      </rPr>
      <t xml:space="preserve">图像识别自动判断照片中的卫生</t>
    </r>
    <r>
      <rPr>
        <sz val="9"/>
        <color rgb="FF333333"/>
        <rFont val="Arial"/>
        <family val="0"/>
        <charset val="1"/>
      </rPr>
      <t xml:space="preserve">/</t>
    </r>
    <r>
      <rPr>
        <sz val="9"/>
        <color rgb="FF333333"/>
        <rFont val="Noto Sans CJK SC"/>
        <family val="2"/>
      </rPr>
      <t xml:space="preserve">安全问题，减少人工评分主观性</t>
    </r>
  </si>
  <si>
    <t xml:space="preserve">技术复杂度高，准确率未经验证，延后评估</t>
  </si>
  <si>
    <t xml:space="preserve">—</t>
  </si>
  <si>
    <t xml:space="preserve">暂不做</t>
  </si>
  <si>
    <t xml:space="preserve">供应商管理集成</t>
  </si>
  <si>
    <t xml:space="preserve">与食材供应商系统打通，在巡检发现问题时直接触发供应商预警</t>
  </si>
  <si>
    <t xml:space="preserve">涉及多系统集成，超出本期产品范围</t>
  </si>
  <si>
    <r>
      <rPr>
        <b val="true"/>
        <sz val="14"/>
        <color rgb="FFFFFFFF"/>
        <rFont val="Noto Sans CJK SC"/>
        <family val="2"/>
      </rPr>
      <t xml:space="preserve">衢食严选 </t>
    </r>
    <r>
      <rPr>
        <b val="true"/>
        <sz val="14"/>
        <color rgb="FFFFFFFF"/>
        <rFont val="Arial"/>
        <family val="0"/>
        <charset val="1"/>
      </rPr>
      <t xml:space="preserve">· </t>
    </r>
    <r>
      <rPr>
        <b val="true"/>
        <sz val="14"/>
        <color rgb="FFFFFFFF"/>
        <rFont val="Noto Sans CJK SC"/>
        <family val="2"/>
      </rPr>
      <t xml:space="preserve">门店巡检历史数据分析报告（</t>
    </r>
    <r>
      <rPr>
        <b val="true"/>
        <sz val="14"/>
        <color rgb="FFFFFFFF"/>
        <rFont val="Arial"/>
        <family val="0"/>
        <charset val="1"/>
      </rPr>
      <t xml:space="preserve">2024</t>
    </r>
    <r>
      <rPr>
        <b val="true"/>
        <sz val="14"/>
        <color rgb="FFFFFFFF"/>
        <rFont val="Noto Sans CJK SC"/>
        <family val="2"/>
      </rPr>
      <t xml:space="preserve">年</t>
    </r>
    <r>
      <rPr>
        <b val="true"/>
        <sz val="14"/>
        <color rgb="FFFFFFFF"/>
        <rFont val="Arial"/>
        <family val="0"/>
        <charset val="1"/>
      </rPr>
      <t xml:space="preserve">Q3</t>
    </r>
    <r>
      <rPr>
        <b val="true"/>
        <sz val="14"/>
        <color rgb="FFFFFFFF"/>
        <rFont val="Noto Sans CJK SC"/>
        <family val="2"/>
      </rPr>
      <t xml:space="preserve">）</t>
    </r>
  </si>
  <si>
    <r>
      <rPr>
        <sz val="10"/>
        <color rgb="FF1F5FAA"/>
        <rFont val="Noto Sans CJK SC"/>
        <family val="2"/>
      </rPr>
      <t xml:space="preserve">数据来源：品控部历史纸质巡检记录（</t>
    </r>
    <r>
      <rPr>
        <sz val="10"/>
        <color rgb="FF1F5FAA"/>
        <rFont val="Arial"/>
        <family val="0"/>
        <charset val="1"/>
      </rPr>
      <t xml:space="preserve">2024</t>
    </r>
    <r>
      <rPr>
        <sz val="10"/>
        <color rgb="FF1F5FAA"/>
        <rFont val="Noto Sans CJK SC"/>
        <family val="2"/>
      </rPr>
      <t xml:space="preserve">年</t>
    </r>
    <r>
      <rPr>
        <sz val="10"/>
        <color rgb="FF1F5FAA"/>
        <rFont val="Arial"/>
        <family val="0"/>
        <charset val="1"/>
      </rPr>
      <t xml:space="preserve">7-9</t>
    </r>
    <r>
      <rPr>
        <sz val="10"/>
        <color rgb="FF1F5FAA"/>
        <rFont val="Noto Sans CJK SC"/>
        <family val="2"/>
      </rPr>
      <t xml:space="preserve">月）</t>
    </r>
    <r>
      <rPr>
        <sz val="10"/>
        <color rgb="FF1F5FAA"/>
        <rFont val="Arial"/>
        <family val="0"/>
        <charset val="1"/>
      </rPr>
      <t xml:space="preserve">| </t>
    </r>
    <r>
      <rPr>
        <sz val="10"/>
        <color rgb="FF1F5FAA"/>
        <rFont val="Noto Sans CJK SC"/>
        <family val="2"/>
      </rPr>
      <t xml:space="preserve">样本：</t>
    </r>
    <r>
      <rPr>
        <sz val="10"/>
        <color rgb="FF1F5FAA"/>
        <rFont val="Arial"/>
        <family val="0"/>
        <charset val="1"/>
      </rPr>
      <t xml:space="preserve">57</t>
    </r>
    <r>
      <rPr>
        <sz val="10"/>
        <color rgb="FF1F5FAA"/>
        <rFont val="Noto Sans CJK SC"/>
        <family val="2"/>
      </rPr>
      <t xml:space="preserve">家门店 </t>
    </r>
    <r>
      <rPr>
        <sz val="10"/>
        <color rgb="FF1F5FAA"/>
        <rFont val="Arial"/>
        <family val="0"/>
        <charset val="1"/>
      </rPr>
      <t xml:space="preserve">· </t>
    </r>
    <r>
      <rPr>
        <sz val="10"/>
        <color rgb="FF1F5FAA"/>
        <rFont val="Noto Sans CJK SC"/>
        <family val="2"/>
      </rPr>
      <t xml:space="preserve">共计</t>
    </r>
    <r>
      <rPr>
        <sz val="10"/>
        <color rgb="FF1F5FAA"/>
        <rFont val="Arial"/>
        <family val="0"/>
        <charset val="1"/>
      </rPr>
      <t xml:space="preserve">243</t>
    </r>
    <r>
      <rPr>
        <sz val="10"/>
        <color rgb="FF1F5FAA"/>
        <rFont val="Noto Sans CJK SC"/>
        <family val="2"/>
      </rPr>
      <t xml:space="preserve">次巡检记录 </t>
    </r>
    <r>
      <rPr>
        <sz val="10"/>
        <color rgb="FF1F5FAA"/>
        <rFont val="Arial"/>
        <family val="0"/>
        <charset val="1"/>
      </rPr>
      <t xml:space="preserve">| </t>
    </r>
    <r>
      <rPr>
        <sz val="10"/>
        <color rgb="FF1F5FAA"/>
        <rFont val="Noto Sans CJK SC"/>
        <family val="2"/>
      </rPr>
      <t xml:space="preserve">分析人：李晓琳</t>
    </r>
  </si>
  <si>
    <r>
      <rPr>
        <b val="true"/>
        <sz val="11"/>
        <color rgb="FFFFFFFF"/>
        <rFont val="Noto Sans CJK SC"/>
        <family val="2"/>
      </rPr>
      <t xml:space="preserve">表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：巡检问题分类统计（</t>
    </r>
    <r>
      <rPr>
        <b val="true"/>
        <sz val="11"/>
        <color rgb="FFFFFFFF"/>
        <rFont val="Arial"/>
        <family val="0"/>
        <charset val="1"/>
      </rPr>
      <t xml:space="preserve">2024</t>
    </r>
    <r>
      <rPr>
        <b val="true"/>
        <sz val="11"/>
        <color rgb="FFFFFFFF"/>
        <rFont val="Noto Sans CJK SC"/>
        <family val="2"/>
      </rPr>
      <t xml:space="preserve">年</t>
    </r>
    <r>
      <rPr>
        <b val="true"/>
        <sz val="11"/>
        <color rgb="FFFFFFFF"/>
        <rFont val="Arial"/>
        <family val="0"/>
        <charset val="1"/>
      </rPr>
      <t xml:space="preserve">Q3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</si>
  <si>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问题类别</t>
  </si>
  <si>
    <t xml:space="preserve">发现次数</t>
  </si>
  <si>
    <r>
      <rPr>
        <b val="true"/>
        <sz val="10"/>
        <color rgb="FF1F5FAA"/>
        <rFont val="Noto Sans CJK SC"/>
        <family val="2"/>
      </rPr>
      <t xml:space="preserve">占比</t>
    </r>
    <r>
      <rPr>
        <b val="true"/>
        <sz val="10"/>
        <color rgb="FF1F5FAA"/>
        <rFont val="Arial"/>
        <family val="0"/>
        <charset val="1"/>
      </rPr>
      <t xml:space="preserve">(%)</t>
    </r>
  </si>
  <si>
    <t xml:space="preserve">整改完成数</t>
  </si>
  <si>
    <r>
      <rPr>
        <b val="true"/>
        <sz val="10"/>
        <color rgb="FF1F5FAA"/>
        <rFont val="Noto Sans CJK SC"/>
        <family val="2"/>
      </rPr>
      <t xml:space="preserve">整改完成率</t>
    </r>
    <r>
      <rPr>
        <b val="true"/>
        <sz val="10"/>
        <color rgb="FF1F5FAA"/>
        <rFont val="Arial"/>
        <family val="0"/>
        <charset val="1"/>
      </rPr>
      <t xml:space="preserve">(%)</t>
    </r>
  </si>
  <si>
    <t xml:space="preserve">厨房卫生</t>
  </si>
  <si>
    <t xml:space="preserve">食材存储规范</t>
  </si>
  <si>
    <t xml:space="preserve">员工操作规范</t>
  </si>
  <si>
    <t xml:space="preserve">消防安全设施</t>
  </si>
  <si>
    <t xml:space="preserve">门店环境卫生</t>
  </si>
  <si>
    <t xml:space="preserve">其他</t>
  </si>
  <si>
    <t xml:space="preserve">合计</t>
  </si>
  <si>
    <r>
      <rPr>
        <b val="true"/>
        <sz val="11"/>
        <color rgb="FFFFFFFF"/>
        <rFont val="Noto Sans CJK SC"/>
        <family val="2"/>
      </rPr>
      <t xml:space="preserve">表</t>
    </r>
    <r>
      <rPr>
        <b val="true"/>
        <sz val="11"/>
        <color rgb="FFFFFFFF"/>
        <rFont val="Arial"/>
        <family val="0"/>
        <charset val="1"/>
      </rPr>
      <t xml:space="preserve">2</t>
    </r>
    <r>
      <rPr>
        <b val="true"/>
        <sz val="11"/>
        <color rgb="FFFFFFFF"/>
        <rFont val="Noto Sans CJK SC"/>
        <family val="2"/>
      </rPr>
      <t xml:space="preserve">：各区域整改完成率对比（</t>
    </r>
    <r>
      <rPr>
        <b val="true"/>
        <sz val="11"/>
        <color rgb="FFFFFFFF"/>
        <rFont val="Arial"/>
        <family val="0"/>
        <charset val="1"/>
      </rPr>
      <t xml:space="preserve">2024</t>
    </r>
    <r>
      <rPr>
        <b val="true"/>
        <sz val="11"/>
        <color rgb="FFFFFFFF"/>
        <rFont val="Noto Sans CJK SC"/>
        <family val="2"/>
      </rPr>
      <t xml:space="preserve">年</t>
    </r>
    <r>
      <rPr>
        <b val="true"/>
        <sz val="11"/>
        <color rgb="FFFFFFFF"/>
        <rFont val="Arial"/>
        <family val="0"/>
        <charset val="1"/>
      </rPr>
      <t xml:space="preserve">Q3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</si>
  <si>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区域</t>
  </si>
  <si>
    <t xml:space="preserve">巡检总次数</t>
  </si>
  <si>
    <t xml:space="preserve">发现问题总数</t>
  </si>
  <si>
    <t xml:space="preserve">柯城区</t>
  </si>
  <si>
    <t xml:space="preserve">衢江区</t>
  </si>
  <si>
    <t xml:space="preserve">龙游县</t>
  </si>
  <si>
    <t xml:space="preserve">江山市</t>
  </si>
  <si>
    <t xml:space="preserve">常山县</t>
  </si>
  <si>
    <t xml:space="preserve">全市合计</t>
  </si>
  <si>
    <t xml:space="preserve">数据分析结论与产品优化建议</t>
  </si>
  <si>
    <t xml:space="preserve">发现</t>
  </si>
  <si>
    <t xml:space="preserve">数据说明</t>
  </si>
  <si>
    <t xml:space="preserve">产品优化建议</t>
  </si>
  <si>
    <r>
      <rPr>
        <b val="true"/>
        <sz val="10"/>
        <color rgb="FF222222"/>
        <rFont val="Noto Sans CJK SC"/>
        <family val="2"/>
      </rPr>
      <t xml:space="preserve">核心发现</t>
    </r>
    <r>
      <rPr>
        <b val="true"/>
        <sz val="10"/>
        <color rgb="FF222222"/>
        <rFont val="Arial"/>
        <family val="0"/>
        <charset val="1"/>
      </rPr>
      <t xml:space="preserve">1</t>
    </r>
  </si>
  <si>
    <r>
      <rPr>
        <sz val="10"/>
        <color rgb="FF222222"/>
        <rFont val="Noto Sans CJK SC"/>
        <family val="2"/>
      </rPr>
      <t xml:space="preserve">「厨房卫生」类问题占所有问题的</t>
    </r>
    <r>
      <rPr>
        <sz val="10"/>
        <color rgb="FF222222"/>
        <rFont val="Arial"/>
        <family val="0"/>
        <charset val="1"/>
      </rPr>
      <t xml:space="preserve">42%</t>
    </r>
    <r>
      <rPr>
        <sz val="10"/>
        <color rgb="FF222222"/>
        <rFont val="Noto Sans CJK SC"/>
        <family val="2"/>
      </rPr>
      <t xml:space="preserve">，且整改完成率仅</t>
    </r>
    <r>
      <rPr>
        <sz val="10"/>
        <color rgb="FF222222"/>
        <rFont val="Arial"/>
        <family val="0"/>
        <charset val="1"/>
      </rPr>
      <t xml:space="preserve">43%</t>
    </r>
    <r>
      <rPr>
        <sz val="10"/>
        <color rgb="FF222222"/>
        <rFont val="Noto Sans CJK SC"/>
        <family val="2"/>
      </rPr>
      <t xml:space="preserve">，为最高频</t>
    </r>
    <r>
      <rPr>
        <sz val="10"/>
        <color rgb="FF222222"/>
        <rFont val="Arial"/>
        <family val="0"/>
        <charset val="1"/>
      </rPr>
      <t xml:space="preserve">+</t>
    </r>
    <r>
      <rPr>
        <sz val="10"/>
        <color rgb="FF222222"/>
        <rFont val="Noto Sans CJK SC"/>
        <family val="2"/>
      </rPr>
      <t xml:space="preserve">最难整改的问题类型。</t>
    </r>
  </si>
  <si>
    <r>
      <rPr>
        <sz val="10"/>
        <color rgb="FF222222"/>
        <rFont val="Noto Sans CJK SC"/>
        <family val="2"/>
      </rPr>
      <t xml:space="preserve">建议在</t>
    </r>
    <r>
      <rPr>
        <sz val="10"/>
        <color rgb="FF222222"/>
        <rFont val="Arial"/>
        <family val="0"/>
        <charset val="1"/>
      </rPr>
      <t xml:space="preserve">V1.1</t>
    </r>
    <r>
      <rPr>
        <sz val="10"/>
        <color rgb="FF222222"/>
        <rFont val="Noto Sans CJK SC"/>
        <family val="2"/>
      </rPr>
      <t xml:space="preserve">中对「厨房卫生」类整改工单单独设置更短的整改周期（</t>
    </r>
    <r>
      <rPr>
        <sz val="10"/>
        <color rgb="FF222222"/>
        <rFont val="Arial"/>
        <family val="0"/>
        <charset val="1"/>
      </rPr>
      <t xml:space="preserve">3</t>
    </r>
    <r>
      <rPr>
        <sz val="10"/>
        <color rgb="FF222222"/>
        <rFont val="Noto Sans CJK SC"/>
        <family val="2"/>
      </rPr>
      <t xml:space="preserve">个工作日）并自动触发二次验收。</t>
    </r>
  </si>
  <si>
    <r>
      <rPr>
        <b val="true"/>
        <sz val="10"/>
        <color rgb="FF222222"/>
        <rFont val="Noto Sans CJK SC"/>
        <family val="2"/>
      </rPr>
      <t xml:space="preserve">核心发现</t>
    </r>
    <r>
      <rPr>
        <b val="true"/>
        <sz val="10"/>
        <color rgb="FF222222"/>
        <rFont val="Arial"/>
        <family val="0"/>
        <charset val="1"/>
      </rPr>
      <t xml:space="preserve">2</t>
    </r>
  </si>
  <si>
    <r>
      <rPr>
        <sz val="10"/>
        <color rgb="FF222222"/>
        <rFont val="Noto Sans CJK SC"/>
        <family val="2"/>
      </rPr>
      <t xml:space="preserve">全市平均整改完成率仅</t>
    </r>
    <r>
      <rPr>
        <sz val="10"/>
        <color rgb="FF222222"/>
        <rFont val="Arial"/>
        <family val="0"/>
        <charset val="1"/>
      </rPr>
      <t xml:space="preserve">47%</t>
    </r>
    <r>
      <rPr>
        <sz val="10"/>
        <color rgb="FF222222"/>
        <rFont val="Noto Sans CJK SC"/>
        <family val="2"/>
      </rPr>
      <t xml:space="preserve">，远低于管理层目标（</t>
    </r>
    <r>
      <rPr>
        <sz val="10"/>
        <color rgb="FF222222"/>
        <rFont val="Arial"/>
        <family val="0"/>
        <charset val="1"/>
      </rPr>
      <t xml:space="preserve">75%</t>
    </r>
    <r>
      <rPr>
        <sz val="10"/>
        <color rgb="FF222222"/>
        <rFont val="Noto Sans CJK SC"/>
        <family val="2"/>
      </rPr>
      <t xml:space="preserve">）。核心原因：整改无跟踪、无截止提醒。</t>
    </r>
  </si>
  <si>
    <r>
      <rPr>
        <sz val="10"/>
        <color rgb="FF222222"/>
        <rFont val="Arial"/>
        <family val="0"/>
        <charset val="1"/>
      </rPr>
      <t xml:space="preserve">V1.1</t>
    </r>
    <r>
      <rPr>
        <sz val="10"/>
        <color rgb="FF222222"/>
        <rFont val="Noto Sans CJK SC"/>
        <family val="2"/>
      </rPr>
      <t xml:space="preserve">「整改截止提醒」功能直接针对此痛点，预计可将完成率提升至</t>
    </r>
    <r>
      <rPr>
        <sz val="10"/>
        <color rgb="FF222222"/>
        <rFont val="Arial"/>
        <family val="0"/>
        <charset val="1"/>
      </rPr>
      <t xml:space="preserve">65-70%</t>
    </r>
    <r>
      <rPr>
        <sz val="10"/>
        <color rgb="FF222222"/>
        <rFont val="Noto Sans CJK SC"/>
        <family val="2"/>
      </rPr>
      <t xml:space="preserve">。</t>
    </r>
  </si>
  <si>
    <r>
      <rPr>
        <b val="true"/>
        <sz val="10"/>
        <color rgb="FF222222"/>
        <rFont val="Noto Sans CJK SC"/>
        <family val="2"/>
      </rPr>
      <t xml:space="preserve">核心发现</t>
    </r>
    <r>
      <rPr>
        <b val="true"/>
        <sz val="10"/>
        <color rgb="FF222222"/>
        <rFont val="Arial"/>
        <family val="0"/>
        <charset val="1"/>
      </rPr>
      <t xml:space="preserve">3</t>
    </r>
  </si>
  <si>
    <r>
      <rPr>
        <sz val="10"/>
        <color rgb="FF222222"/>
        <rFont val="Noto Sans CJK SC"/>
        <family val="2"/>
      </rPr>
      <t xml:space="preserve">柯城区整改完成率（</t>
    </r>
    <r>
      <rPr>
        <sz val="10"/>
        <color rgb="FF222222"/>
        <rFont val="Arial"/>
        <family val="0"/>
        <charset val="1"/>
      </rPr>
      <t xml:space="preserve">43%</t>
    </r>
    <r>
      <rPr>
        <sz val="10"/>
        <color rgb="FF222222"/>
        <rFont val="Noto Sans CJK SC"/>
        <family val="2"/>
      </rPr>
      <t xml:space="preserve">）最低，为全市最差区域，且该区域门店密度最大（</t>
    </r>
    <r>
      <rPr>
        <sz val="10"/>
        <color rgb="FF222222"/>
        <rFont val="Arial"/>
        <family val="0"/>
        <charset val="1"/>
      </rPr>
      <t xml:space="preserve">72</t>
    </r>
    <r>
      <rPr>
        <sz val="10"/>
        <color rgb="FF222222"/>
        <rFont val="Noto Sans CJK SC"/>
        <family val="2"/>
      </rPr>
      <t xml:space="preserve">次巡检）。</t>
    </r>
  </si>
  <si>
    <r>
      <rPr>
        <sz val="10"/>
        <color rgb="FF222222"/>
        <rFont val="Noto Sans CJK SC"/>
        <family val="2"/>
      </rPr>
      <t xml:space="preserve">建议</t>
    </r>
    <r>
      <rPr>
        <sz val="10"/>
        <color rgb="FF222222"/>
        <rFont val="Arial"/>
        <family val="0"/>
        <charset val="1"/>
      </rPr>
      <t xml:space="preserve">V1.1</t>
    </r>
    <r>
      <rPr>
        <sz val="10"/>
        <color rgb="FF222222"/>
        <rFont val="Noto Sans CJK SC"/>
        <family val="2"/>
      </rPr>
      <t xml:space="preserve">智能预警优先覆盖柯城区，并对区域经理增加区域排名可见功能以施加正向竞争压力。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</si>
</sst>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</font>
    <font>
      <b val="true"/>
      <sz val="14"/>
      <color rgb="FFFFFFFF"/>
      <name val="Arial"/>
      <family val="0"/>
      <charset val="1"/>
    </font>
    <font>
      <sz val="10"/>
      <color rgb="FF1F5FAA"/>
      <name val="Noto Sans CJK SC"/>
      <family val="2"/>
    </font>
    <font>
      <sz val="10"/>
      <color rgb="FF1F5FA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9"/>
      <color rgb="FFC0392B"/>
      <name val="Arial"/>
      <family val="0"/>
      <charset val="1"/>
    </font>
    <font>
      <b val="true"/>
      <sz val="9"/>
      <color rgb="FFC0392B"/>
      <name val="Noto Sans CJK SC"/>
      <family val="2"/>
    </font>
    <font>
      <sz val="9"/>
      <color rgb="FF333333"/>
      <name val="Noto Sans CJK SC"/>
      <family val="2"/>
    </font>
    <font>
      <sz val="9"/>
      <color rgb="FF333333"/>
      <name val="Arial"/>
      <family val="0"/>
      <charset val="1"/>
    </font>
    <font>
      <b val="true"/>
      <sz val="9"/>
      <color rgb="FF2D9E5F"/>
      <name val="Noto Sans CJK SC"/>
      <family val="2"/>
    </font>
    <font>
      <b val="true"/>
      <sz val="9"/>
      <color rgb="FFE89A00"/>
      <name val="Arial"/>
      <family val="0"/>
      <charset val="1"/>
    </font>
    <font>
      <b val="true"/>
      <sz val="9"/>
      <color rgb="FFE89A00"/>
      <name val="Noto Sans CJK SC"/>
      <family val="2"/>
    </font>
    <font>
      <b val="true"/>
      <sz val="9"/>
      <color rgb="FF2D9E5F"/>
      <name val="Arial"/>
      <family val="0"/>
      <charset val="1"/>
    </font>
    <font>
      <b val="true"/>
      <sz val="9"/>
      <color rgb="FF444444"/>
      <name val="Arial"/>
      <family val="0"/>
      <charset val="1"/>
    </font>
    <font>
      <b val="true"/>
      <sz val="9"/>
      <color rgb="FF444444"/>
      <name val="Noto Sans CJK SC"/>
      <family val="2"/>
    </font>
    <font>
      <b val="true"/>
      <sz val="9"/>
      <color rgb="FF888888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0"/>
      <color rgb="FF1F5FAA"/>
      <name val="Noto Sans CJK SC"/>
      <family val="2"/>
    </font>
    <font>
      <b val="true"/>
      <sz val="10"/>
      <color rgb="FF1F5FAA"/>
      <name val="Arial"/>
      <family val="0"/>
      <charset val="1"/>
    </font>
    <font>
      <sz val="10"/>
      <color rgb="FF222222"/>
      <name val="Noto Sans CJK SC"/>
      <family val="2"/>
    </font>
    <font>
      <sz val="10"/>
      <color rgb="FF222222"/>
      <name val="Arial"/>
      <family val="0"/>
      <charset val="1"/>
    </font>
    <font>
      <b val="true"/>
      <sz val="10"/>
      <color rgb="FF222222"/>
      <name val="Noto Sans CJK SC"/>
      <family val="2"/>
    </font>
    <font>
      <b val="true"/>
      <sz val="10"/>
      <color rgb="FF222222"/>
      <name val="Arial"/>
      <family val="0"/>
      <charset val="1"/>
    </font>
    <font>
      <b val="true"/>
      <sz val="18"/>
      <color rgb="FF000000"/>
      <name val="Noto Sans CJK SC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</fonts>
  <fills count="11">
    <fill>
      <patternFill patternType="none"/>
    </fill>
    <fill>
      <patternFill patternType="gray125"/>
    </fill>
    <fill>
      <patternFill patternType="solid">
        <fgColor rgb="FF1F5FAA"/>
        <bgColor rgb="FF008080"/>
      </patternFill>
    </fill>
    <fill>
      <patternFill patternType="solid">
        <fgColor rgb="FFD5E8F0"/>
        <bgColor rgb="FFE0F5EA"/>
      </patternFill>
    </fill>
    <fill>
      <patternFill patternType="solid">
        <fgColor rgb="FFFFF0F0"/>
        <bgColor rgb="FFF2F2F2"/>
      </patternFill>
    </fill>
    <fill>
      <patternFill patternType="solid">
        <fgColor rgb="FFFFFFFF"/>
        <bgColor rgb="FFFAFAFA"/>
      </patternFill>
    </fill>
    <fill>
      <patternFill patternType="solid">
        <fgColor rgb="FFFAFAFA"/>
        <bgColor rgb="FFF9F9F9"/>
      </patternFill>
    </fill>
    <fill>
      <patternFill patternType="solid">
        <fgColor rgb="FFFFF3CC"/>
        <bgColor rgb="FFFFF0F0"/>
      </patternFill>
    </fill>
    <fill>
      <patternFill patternType="solid">
        <fgColor rgb="FFE0F5EA"/>
        <bgColor rgb="FFF2F2F2"/>
      </patternFill>
    </fill>
    <fill>
      <patternFill patternType="solid">
        <fgColor rgb="FFF2F2F2"/>
        <bgColor rgb="FFF8F9FA"/>
      </patternFill>
    </fill>
    <fill>
      <patternFill patternType="solid">
        <fgColor rgb="FFF8F9FA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FF3CC"/>
      <rgbColor rgb="FFE0F5EA"/>
      <rgbColor rgb="FF660066"/>
      <rgbColor rgb="FFF79646"/>
      <rgbColor rgb="FF1F5FA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F0"/>
      <rgbColor rgb="FFF2F2F2"/>
      <rgbColor rgb="FFFFF0F0"/>
      <rgbColor rgb="FFF8F9FA"/>
      <rgbColor rgb="FFFAFAFA"/>
      <rgbColor rgb="FFCC99FF"/>
      <rgbColor rgb="FFF9F9F9"/>
      <rgbColor rgb="FF4F81BD"/>
      <rgbColor rgb="FF4BACC6"/>
      <rgbColor rgb="FF9BBB59"/>
      <rgbColor rgb="FFFFCC00"/>
      <rgbColor rgb="FFE89A00"/>
      <rgbColor rgb="FFFF6600"/>
      <rgbColor rgb="FF8064A2"/>
      <rgbColor rgb="FF888888"/>
      <rgbColor rgb="FF003366"/>
      <rgbColor rgb="FF2D9E5F"/>
      <rgbColor rgb="FF003300"/>
      <rgbColor rgb="FF222222"/>
      <rgbColor rgb="FFC0392B"/>
      <rgbColor rgb="FF993366"/>
      <rgbColor rgb="FF444444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巡检问题分类数量（2024年Q3）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巡检数据分析!B5</c:f>
              <c:strCache>
                <c:ptCount val="1"/>
                <c:pt idx="0">
                  <c:v>发现次数</c:v>
                </c:pt>
              </c:strCache>
            </c:strRef>
          </c:tx>
          <c:spPr>
            <a:solidFill>
              <a:srgbClr val="1f5fa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巡检数据分析!$A$6:$A$11</c:f>
              <c:strCache>
                <c:ptCount val="6"/>
                <c:pt idx="0">
                  <c:v>厨房卫生</c:v>
                </c:pt>
                <c:pt idx="1">
                  <c:v>食材存储规范</c:v>
                </c:pt>
                <c:pt idx="2">
                  <c:v>员工操作规范</c:v>
                </c:pt>
                <c:pt idx="3">
                  <c:v>消防安全设施</c:v>
                </c:pt>
                <c:pt idx="4">
                  <c:v>门店环境卫生</c:v>
                </c:pt>
                <c:pt idx="5">
                  <c:v>其他</c:v>
                </c:pt>
              </c:strCache>
            </c:strRef>
          </c:cat>
          <c:val>
            <c:numRef>
              <c:f>巡检数据分析!$B$6:$B$11</c:f>
              <c:numCache>
                <c:formatCode>General</c:formatCode>
                <c:ptCount val="6"/>
                <c:pt idx="0">
                  <c:v>102</c:v>
                </c:pt>
                <c:pt idx="1">
                  <c:v>58</c:v>
                </c:pt>
                <c:pt idx="2">
                  <c:v>37</c:v>
                </c:pt>
                <c:pt idx="3">
                  <c:v>22</c:v>
                </c:pt>
                <c:pt idx="4">
                  <c:v>15</c:v>
                </c:pt>
                <c:pt idx="5">
                  <c:v>9</c:v>
                </c:pt>
              </c:numCache>
            </c:numRef>
          </c:val>
        </c:ser>
        <c:gapWidth val="150"/>
        <c:overlap val="0"/>
        <c:axId val="32125341"/>
        <c:axId val="63243546"/>
      </c:barChart>
      <c:catAx>
        <c:axId val="32125341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问题类别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243546"/>
        <c:crosses val="autoZero"/>
        <c:auto val="1"/>
        <c:lblAlgn val="ctr"/>
        <c:lblOffset val="100"/>
        <c:noMultiLvlLbl val="0"/>
      </c:catAx>
      <c:valAx>
        <c:axId val="632435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发现次数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12534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问题类型占比分布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巡检数据分析!B5</c:f>
              <c:strCache>
                <c:ptCount val="1"/>
                <c:pt idx="0">
                  <c:v>发现次数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f7964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巡检数据分析!$A$6:$A$11</c:f>
              <c:strCache>
                <c:ptCount val="6"/>
                <c:pt idx="0">
                  <c:v>厨房卫生</c:v>
                </c:pt>
                <c:pt idx="1">
                  <c:v>食材存储规范</c:v>
                </c:pt>
                <c:pt idx="2">
                  <c:v>员工操作规范</c:v>
                </c:pt>
                <c:pt idx="3">
                  <c:v>消防安全设施</c:v>
                </c:pt>
                <c:pt idx="4">
                  <c:v>门店环境卫生</c:v>
                </c:pt>
                <c:pt idx="5">
                  <c:v>其他</c:v>
                </c:pt>
              </c:strCache>
            </c:strRef>
          </c:cat>
          <c:val>
            <c:numRef>
              <c:f>巡检数据分析!$B$6:$B$11</c:f>
              <c:numCache>
                <c:formatCode>General</c:formatCode>
                <c:ptCount val="6"/>
                <c:pt idx="0">
                  <c:v>102</c:v>
                </c:pt>
                <c:pt idx="1">
                  <c:v>58</c:v>
                </c:pt>
                <c:pt idx="2">
                  <c:v>37</c:v>
                </c:pt>
                <c:pt idx="3">
                  <c:v>22</c:v>
                </c:pt>
                <c:pt idx="4">
                  <c:v>15</c:v>
                </c:pt>
                <c:pt idx="5">
                  <c:v>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14</xdr:col>
      <xdr:colOff>256320</xdr:colOff>
      <xdr:row>16</xdr:row>
      <xdr:rowOff>8640</xdr:rowOff>
    </xdr:to>
    <xdr:graphicFrame>
      <xdr:nvGraphicFramePr>
        <xdr:cNvPr id="0" name="Chart 1"/>
        <xdr:cNvGraphicFramePr/>
      </xdr:nvGraphicFramePr>
      <xdr:xfrm>
        <a:off x="9304200" y="83808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17</xdr:row>
      <xdr:rowOff>0</xdr:rowOff>
    </xdr:from>
    <xdr:to>
      <xdr:col>13</xdr:col>
      <xdr:colOff>147600</xdr:colOff>
      <xdr:row>26</xdr:row>
      <xdr:rowOff>437040</xdr:rowOff>
    </xdr:to>
    <xdr:graphicFrame>
      <xdr:nvGraphicFramePr>
        <xdr:cNvPr id="1" name="Chart 2"/>
        <xdr:cNvGraphicFramePr/>
      </xdr:nvGraphicFramePr>
      <xdr:xfrm>
        <a:off x="9304200" y="470520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42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9.75" hidden="false" customHeight="true" outlineLevel="0" collapsed="false"/>
    <row r="4" customFormat="false" ht="25.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37.5" hidden="false" customHeight="true" outlineLevel="0" collapsed="false">
      <c r="A5" s="5" t="s">
        <v>11</v>
      </c>
      <c r="B5" s="6" t="s">
        <v>12</v>
      </c>
      <c r="C5" s="6" t="s">
        <v>13</v>
      </c>
      <c r="D5" s="6" t="s">
        <v>14</v>
      </c>
      <c r="E5" s="7" t="s">
        <v>15</v>
      </c>
      <c r="F5" s="7" t="s">
        <v>16</v>
      </c>
      <c r="G5" s="7" t="s">
        <v>17</v>
      </c>
      <c r="H5" s="6" t="s">
        <v>18</v>
      </c>
      <c r="I5" s="8" t="s">
        <v>19</v>
      </c>
    </row>
    <row r="6" customFormat="false" ht="37.5" hidden="false" customHeight="true" outlineLevel="0" collapsed="false">
      <c r="A6" s="5" t="s">
        <v>11</v>
      </c>
      <c r="B6" s="9" t="s">
        <v>20</v>
      </c>
      <c r="C6" s="9" t="s">
        <v>21</v>
      </c>
      <c r="D6" s="9" t="s">
        <v>22</v>
      </c>
      <c r="E6" s="9" t="s">
        <v>23</v>
      </c>
      <c r="F6" s="10" t="s">
        <v>24</v>
      </c>
      <c r="G6" s="10" t="s">
        <v>17</v>
      </c>
      <c r="H6" s="9" t="s">
        <v>25</v>
      </c>
      <c r="I6" s="11" t="s">
        <v>19</v>
      </c>
    </row>
    <row r="7" customFormat="false" ht="37.5" hidden="false" customHeight="true" outlineLevel="0" collapsed="false">
      <c r="A7" s="5" t="s">
        <v>11</v>
      </c>
      <c r="B7" s="6" t="s">
        <v>26</v>
      </c>
      <c r="C7" s="6" t="s">
        <v>27</v>
      </c>
      <c r="D7" s="6" t="s">
        <v>28</v>
      </c>
      <c r="E7" s="6" t="s">
        <v>29</v>
      </c>
      <c r="F7" s="7" t="s">
        <v>30</v>
      </c>
      <c r="G7" s="7" t="s">
        <v>17</v>
      </c>
      <c r="H7" s="6" t="s">
        <v>18</v>
      </c>
      <c r="I7" s="8" t="s">
        <v>19</v>
      </c>
    </row>
    <row r="8" customFormat="false" ht="37.5" hidden="false" customHeight="true" outlineLevel="0" collapsed="false">
      <c r="A8" s="5" t="s">
        <v>11</v>
      </c>
      <c r="B8" s="9" t="s">
        <v>31</v>
      </c>
      <c r="C8" s="9" t="s">
        <v>32</v>
      </c>
      <c r="D8" s="9" t="s">
        <v>33</v>
      </c>
      <c r="E8" s="10" t="s">
        <v>15</v>
      </c>
      <c r="F8" s="10" t="s">
        <v>34</v>
      </c>
      <c r="G8" s="10" t="s">
        <v>17</v>
      </c>
      <c r="H8" s="9" t="s">
        <v>25</v>
      </c>
      <c r="I8" s="11" t="s">
        <v>19</v>
      </c>
    </row>
    <row r="9" customFormat="false" ht="37.5" hidden="false" customHeight="true" outlineLevel="0" collapsed="false">
      <c r="A9" s="12" t="s">
        <v>35</v>
      </c>
      <c r="B9" s="6" t="s">
        <v>36</v>
      </c>
      <c r="C9" s="6" t="s">
        <v>37</v>
      </c>
      <c r="D9" s="6" t="s">
        <v>38</v>
      </c>
      <c r="E9" s="6" t="s">
        <v>23</v>
      </c>
      <c r="F9" s="7" t="s">
        <v>39</v>
      </c>
      <c r="G9" s="7" t="s">
        <v>17</v>
      </c>
      <c r="H9" s="6" t="s">
        <v>18</v>
      </c>
      <c r="I9" s="8" t="s">
        <v>19</v>
      </c>
    </row>
    <row r="10" customFormat="false" ht="37.5" hidden="false" customHeight="true" outlineLevel="0" collapsed="false">
      <c r="A10" s="12" t="s">
        <v>35</v>
      </c>
      <c r="B10" s="9" t="s">
        <v>40</v>
      </c>
      <c r="C10" s="9" t="s">
        <v>41</v>
      </c>
      <c r="D10" s="9" t="s">
        <v>42</v>
      </c>
      <c r="E10" s="10" t="s">
        <v>15</v>
      </c>
      <c r="F10" s="10" t="s">
        <v>43</v>
      </c>
      <c r="G10" s="10" t="s">
        <v>17</v>
      </c>
      <c r="H10" s="9" t="s">
        <v>25</v>
      </c>
      <c r="I10" s="11" t="s">
        <v>19</v>
      </c>
    </row>
    <row r="11" customFormat="false" ht="37.5" hidden="false" customHeight="true" outlineLevel="0" collapsed="false">
      <c r="A11" s="12" t="s">
        <v>35</v>
      </c>
      <c r="B11" s="6" t="s">
        <v>44</v>
      </c>
      <c r="C11" s="6" t="s">
        <v>45</v>
      </c>
      <c r="D11" s="6" t="s">
        <v>46</v>
      </c>
      <c r="E11" s="7" t="s">
        <v>15</v>
      </c>
      <c r="F11" s="7" t="s">
        <v>16</v>
      </c>
      <c r="G11" s="7" t="s">
        <v>47</v>
      </c>
      <c r="H11" s="6" t="s">
        <v>18</v>
      </c>
      <c r="I11" s="8" t="s">
        <v>19</v>
      </c>
    </row>
    <row r="12" customFormat="false" ht="37.5" hidden="false" customHeight="true" outlineLevel="0" collapsed="false">
      <c r="A12" s="12" t="s">
        <v>35</v>
      </c>
      <c r="B12" s="9" t="s">
        <v>48</v>
      </c>
      <c r="C12" s="9" t="s">
        <v>49</v>
      </c>
      <c r="D12" s="9" t="s">
        <v>50</v>
      </c>
      <c r="E12" s="9" t="s">
        <v>23</v>
      </c>
      <c r="F12" s="10" t="s">
        <v>51</v>
      </c>
      <c r="G12" s="10" t="s">
        <v>47</v>
      </c>
      <c r="H12" s="9" t="s">
        <v>18</v>
      </c>
      <c r="I12" s="11" t="s">
        <v>19</v>
      </c>
    </row>
    <row r="13" customFormat="false" ht="37.5" hidden="false" customHeight="true" outlineLevel="0" collapsed="false">
      <c r="A13" s="13" t="s">
        <v>52</v>
      </c>
      <c r="B13" s="6" t="s">
        <v>53</v>
      </c>
      <c r="C13" s="6" t="s">
        <v>54</v>
      </c>
      <c r="D13" s="6" t="s">
        <v>55</v>
      </c>
      <c r="E13" s="6" t="s">
        <v>29</v>
      </c>
      <c r="F13" s="7" t="s">
        <v>43</v>
      </c>
      <c r="G13" s="7" t="s">
        <v>47</v>
      </c>
      <c r="H13" s="6" t="s">
        <v>25</v>
      </c>
      <c r="I13" s="8" t="s">
        <v>19</v>
      </c>
    </row>
    <row r="14" customFormat="false" ht="37.5" hidden="false" customHeight="true" outlineLevel="0" collapsed="false">
      <c r="A14" s="13" t="s">
        <v>52</v>
      </c>
      <c r="B14" s="9" t="s">
        <v>56</v>
      </c>
      <c r="C14" s="9" t="s">
        <v>57</v>
      </c>
      <c r="D14" s="9" t="s">
        <v>58</v>
      </c>
      <c r="E14" s="10" t="s">
        <v>15</v>
      </c>
      <c r="F14" s="10" t="s">
        <v>16</v>
      </c>
      <c r="G14" s="10" t="s">
        <v>59</v>
      </c>
      <c r="H14" s="9" t="s">
        <v>25</v>
      </c>
      <c r="I14" s="14" t="s">
        <v>60</v>
      </c>
    </row>
    <row r="15" customFormat="false" ht="37.5" hidden="false" customHeight="true" outlineLevel="0" collapsed="false">
      <c r="A15" s="13" t="s">
        <v>52</v>
      </c>
      <c r="B15" s="6" t="s">
        <v>61</v>
      </c>
      <c r="C15" s="6" t="s">
        <v>62</v>
      </c>
      <c r="D15" s="6" t="s">
        <v>63</v>
      </c>
      <c r="E15" s="6" t="s">
        <v>23</v>
      </c>
      <c r="F15" s="7" t="s">
        <v>30</v>
      </c>
      <c r="G15" s="7" t="s">
        <v>59</v>
      </c>
      <c r="H15" s="6" t="s">
        <v>18</v>
      </c>
      <c r="I15" s="15" t="s">
        <v>60</v>
      </c>
    </row>
    <row r="16" customFormat="false" ht="37.5" hidden="false" customHeight="true" outlineLevel="0" collapsed="false">
      <c r="A16" s="16" t="s">
        <v>64</v>
      </c>
      <c r="B16" s="10" t="s">
        <v>65</v>
      </c>
      <c r="C16" s="9" t="s">
        <v>66</v>
      </c>
      <c r="D16" s="9" t="s">
        <v>67</v>
      </c>
      <c r="E16" s="9" t="s">
        <v>29</v>
      </c>
      <c r="F16" s="10" t="s">
        <v>68</v>
      </c>
      <c r="G16" s="10" t="s">
        <v>68</v>
      </c>
      <c r="H16" s="10" t="s">
        <v>68</v>
      </c>
      <c r="I16" s="17" t="s">
        <v>69</v>
      </c>
    </row>
    <row r="17" customFormat="false" ht="37.5" hidden="false" customHeight="true" outlineLevel="0" collapsed="false">
      <c r="A17" s="16" t="s">
        <v>64</v>
      </c>
      <c r="B17" s="6" t="s">
        <v>70</v>
      </c>
      <c r="C17" s="6" t="s">
        <v>71</v>
      </c>
      <c r="D17" s="6" t="s">
        <v>72</v>
      </c>
      <c r="E17" s="7" t="s">
        <v>68</v>
      </c>
      <c r="F17" s="7" t="s">
        <v>68</v>
      </c>
      <c r="G17" s="7" t="s">
        <v>68</v>
      </c>
      <c r="H17" s="7" t="s">
        <v>68</v>
      </c>
      <c r="I17" s="18" t="s">
        <v>69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44"/>
    <col collapsed="false" customWidth="true" hidden="false" outlineLevel="0" max="4" min="4" style="0" width="14"/>
    <col collapsed="false" customWidth="true" hidden="false" outlineLevel="0" max="5" min="5" style="0" width="16"/>
  </cols>
  <sheetData>
    <row r="1" customFormat="false" ht="36" hidden="false" customHeight="true" outlineLevel="0" collapsed="false">
      <c r="A1" s="1" t="s">
        <v>73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74</v>
      </c>
      <c r="B2" s="2"/>
      <c r="C2" s="2"/>
      <c r="D2" s="2"/>
      <c r="E2" s="2"/>
      <c r="F2" s="2"/>
      <c r="G2" s="2"/>
      <c r="H2" s="2"/>
    </row>
    <row r="4" customFormat="false" ht="21.75" hidden="false" customHeight="true" outlineLevel="0" collapsed="false">
      <c r="A4" s="19" t="s">
        <v>75</v>
      </c>
      <c r="B4" s="19"/>
      <c r="C4" s="19"/>
      <c r="D4" s="19"/>
    </row>
    <row r="5" customFormat="false" ht="24" hidden="false" customHeight="true" outlineLevel="0" collapsed="false">
      <c r="A5" s="20" t="s">
        <v>76</v>
      </c>
      <c r="B5" s="20" t="s">
        <v>77</v>
      </c>
      <c r="C5" s="20" t="s">
        <v>78</v>
      </c>
      <c r="D5" s="20" t="s">
        <v>79</v>
      </c>
      <c r="E5" s="20" t="s">
        <v>80</v>
      </c>
    </row>
    <row r="6" customFormat="false" ht="21.75" hidden="false" customHeight="true" outlineLevel="0" collapsed="false">
      <c r="A6" s="21" t="s">
        <v>81</v>
      </c>
      <c r="B6" s="22" t="n">
        <v>102</v>
      </c>
      <c r="C6" s="22" t="n">
        <f aca="false">B6/SUM(B6:B11)*100</f>
        <v>41.9753086419753</v>
      </c>
      <c r="D6" s="22" t="n">
        <v>44</v>
      </c>
      <c r="E6" s="22" t="n">
        <f aca="false">D6/B6*100</f>
        <v>43.1372549019608</v>
      </c>
    </row>
    <row r="7" customFormat="false" ht="21.75" hidden="false" customHeight="true" outlineLevel="0" collapsed="false">
      <c r="A7" s="23" t="s">
        <v>82</v>
      </c>
      <c r="B7" s="24" t="n">
        <v>58</v>
      </c>
      <c r="C7" s="24" t="n">
        <f aca="false">B7/SUM(B6:B11)*100</f>
        <v>23.8683127572016</v>
      </c>
      <c r="D7" s="24" t="n">
        <v>27</v>
      </c>
      <c r="E7" s="24" t="n">
        <f aca="false">D7/B7*100</f>
        <v>46.551724137931</v>
      </c>
    </row>
    <row r="8" customFormat="false" ht="21.75" hidden="false" customHeight="true" outlineLevel="0" collapsed="false">
      <c r="A8" s="21" t="s">
        <v>83</v>
      </c>
      <c r="B8" s="22" t="n">
        <v>37</v>
      </c>
      <c r="C8" s="22" t="n">
        <f aca="false">B8/SUM(B6:B11)*100</f>
        <v>15.2263374485597</v>
      </c>
      <c r="D8" s="22" t="n">
        <v>19</v>
      </c>
      <c r="E8" s="22" t="n">
        <f aca="false">D8/B8*100</f>
        <v>51.3513513513514</v>
      </c>
    </row>
    <row r="9" customFormat="false" ht="21.75" hidden="false" customHeight="true" outlineLevel="0" collapsed="false">
      <c r="A9" s="23" t="s">
        <v>84</v>
      </c>
      <c r="B9" s="24" t="n">
        <v>22</v>
      </c>
      <c r="C9" s="24" t="n">
        <f aca="false">B9/SUM(B6:B11)*100</f>
        <v>9.05349794238683</v>
      </c>
      <c r="D9" s="24" t="n">
        <v>16</v>
      </c>
      <c r="E9" s="24" t="n">
        <f aca="false">D9/B9*100</f>
        <v>72.7272727272727</v>
      </c>
    </row>
    <row r="10" customFormat="false" ht="21.75" hidden="false" customHeight="true" outlineLevel="0" collapsed="false">
      <c r="A10" s="21" t="s">
        <v>85</v>
      </c>
      <c r="B10" s="22" t="n">
        <v>15</v>
      </c>
      <c r="C10" s="22" t="n">
        <f aca="false">B10/SUM(B6:B11)*100</f>
        <v>6.17283950617284</v>
      </c>
      <c r="D10" s="22" t="n">
        <v>9</v>
      </c>
      <c r="E10" s="22" t="n">
        <f aca="false">D10/B10*100</f>
        <v>60</v>
      </c>
    </row>
    <row r="11" customFormat="false" ht="21.75" hidden="false" customHeight="true" outlineLevel="0" collapsed="false">
      <c r="A11" s="23" t="s">
        <v>86</v>
      </c>
      <c r="B11" s="24" t="n">
        <v>9</v>
      </c>
      <c r="C11" s="24" t="n">
        <f aca="false">B11/SUM(B6:B11)*100</f>
        <v>3.7037037037037</v>
      </c>
      <c r="D11" s="24" t="n">
        <v>6</v>
      </c>
      <c r="E11" s="24" t="n">
        <f aca="false">D11/B11*100</f>
        <v>66.6666666666667</v>
      </c>
    </row>
    <row r="12" customFormat="false" ht="24" hidden="false" customHeight="true" outlineLevel="0" collapsed="false">
      <c r="A12" s="25" t="s">
        <v>87</v>
      </c>
      <c r="B12" s="26" t="n">
        <f aca="false">SUM(B6:B11)</f>
        <v>243</v>
      </c>
      <c r="C12" s="26" t="n">
        <f aca="false">SUM(C6:C11)</f>
        <v>100</v>
      </c>
      <c r="D12" s="26" t="n">
        <f aca="false">SUM(D6:D11)</f>
        <v>121</v>
      </c>
      <c r="E12" s="26" t="n">
        <f aca="false">D12/B12*100</f>
        <v>49.7942386831276</v>
      </c>
    </row>
    <row r="14" customFormat="false" ht="21.75" hidden="false" customHeight="true" outlineLevel="0" collapsed="false">
      <c r="A14" s="19" t="s">
        <v>88</v>
      </c>
      <c r="B14" s="19"/>
      <c r="C14" s="19"/>
      <c r="D14" s="19"/>
      <c r="E14" s="19"/>
    </row>
    <row r="15" customFormat="false" ht="24" hidden="false" customHeight="true" outlineLevel="0" collapsed="false">
      <c r="A15" s="20" t="s">
        <v>89</v>
      </c>
      <c r="B15" s="20" t="s">
        <v>90</v>
      </c>
      <c r="C15" s="20" t="s">
        <v>91</v>
      </c>
      <c r="D15" s="20" t="s">
        <v>79</v>
      </c>
      <c r="E15" s="20" t="s">
        <v>80</v>
      </c>
    </row>
    <row r="16" customFormat="false" ht="21.75" hidden="false" customHeight="true" outlineLevel="0" collapsed="false">
      <c r="A16" s="21" t="s">
        <v>92</v>
      </c>
      <c r="B16" s="22" t="n">
        <v>72</v>
      </c>
      <c r="C16" s="22" t="n">
        <v>98</v>
      </c>
      <c r="D16" s="22" t="n">
        <v>42</v>
      </c>
      <c r="E16" s="22" t="n">
        <f aca="false">D16/C16*100</f>
        <v>42.8571428571429</v>
      </c>
    </row>
    <row r="17" customFormat="false" ht="21.75" hidden="false" customHeight="true" outlineLevel="0" collapsed="false">
      <c r="A17" s="23" t="s">
        <v>93</v>
      </c>
      <c r="B17" s="24" t="n">
        <v>54</v>
      </c>
      <c r="C17" s="24" t="n">
        <v>71</v>
      </c>
      <c r="D17" s="24" t="n">
        <v>33</v>
      </c>
      <c r="E17" s="24" t="n">
        <f aca="false">D17/C17*100</f>
        <v>46.4788732394366</v>
      </c>
    </row>
    <row r="18" customFormat="false" ht="21.75" hidden="false" customHeight="true" outlineLevel="0" collapsed="false">
      <c r="A18" s="21" t="s">
        <v>94</v>
      </c>
      <c r="B18" s="22" t="n">
        <v>46</v>
      </c>
      <c r="C18" s="22" t="n">
        <v>58</v>
      </c>
      <c r="D18" s="22" t="n">
        <v>28</v>
      </c>
      <c r="E18" s="22" t="n">
        <f aca="false">D18/C18*100</f>
        <v>48.2758620689655</v>
      </c>
    </row>
    <row r="19" customFormat="false" ht="21.75" hidden="false" customHeight="true" outlineLevel="0" collapsed="false">
      <c r="A19" s="23" t="s">
        <v>95</v>
      </c>
      <c r="B19" s="24" t="n">
        <v>39</v>
      </c>
      <c r="C19" s="24" t="n">
        <v>49</v>
      </c>
      <c r="D19" s="24" t="n">
        <v>25</v>
      </c>
      <c r="E19" s="24" t="n">
        <f aca="false">D19/C19*100</f>
        <v>51.0204081632653</v>
      </c>
    </row>
    <row r="20" customFormat="false" ht="21.75" hidden="false" customHeight="true" outlineLevel="0" collapsed="false">
      <c r="A20" s="21" t="s">
        <v>96</v>
      </c>
      <c r="B20" s="22" t="n">
        <v>32</v>
      </c>
      <c r="C20" s="22" t="n">
        <v>41</v>
      </c>
      <c r="D20" s="22" t="n">
        <v>19</v>
      </c>
      <c r="E20" s="22" t="n">
        <f aca="false">D20/C20*100</f>
        <v>46.3414634146342</v>
      </c>
    </row>
    <row r="21" customFormat="false" ht="24" hidden="false" customHeight="true" outlineLevel="0" collapsed="false">
      <c r="A21" s="25" t="s">
        <v>97</v>
      </c>
      <c r="B21" s="26" t="n">
        <f aca="false">SUM(B16:B20)</f>
        <v>243</v>
      </c>
      <c r="C21" s="26" t="n">
        <f aca="false">SUM(C16:C20)</f>
        <v>317</v>
      </c>
      <c r="D21" s="26" t="n">
        <f aca="false">SUM(D16:D20)</f>
        <v>147</v>
      </c>
      <c r="E21" s="26" t="n">
        <f aca="false">D21/C21*100</f>
        <v>46.3722397476341</v>
      </c>
    </row>
    <row r="23" customFormat="false" ht="21.75" hidden="false" customHeight="true" outlineLevel="0" collapsed="false">
      <c r="A23" s="19" t="s">
        <v>98</v>
      </c>
      <c r="B23" s="19"/>
      <c r="C23" s="19"/>
      <c r="D23" s="19"/>
      <c r="E23" s="19"/>
      <c r="F23" s="19"/>
      <c r="G23" s="19"/>
      <c r="H23" s="19"/>
    </row>
    <row r="24" customFormat="false" ht="24" hidden="false" customHeight="true" outlineLevel="0" collapsed="false">
      <c r="A24" s="20" t="s">
        <v>99</v>
      </c>
      <c r="B24" s="20" t="s">
        <v>100</v>
      </c>
      <c r="C24" s="20" t="s">
        <v>101</v>
      </c>
    </row>
    <row r="25" customFormat="false" ht="49.5" hidden="false" customHeight="true" outlineLevel="0" collapsed="false">
      <c r="A25" s="27" t="s">
        <v>102</v>
      </c>
      <c r="B25" s="28" t="s">
        <v>103</v>
      </c>
      <c r="C25" s="28" t="s">
        <v>104</v>
      </c>
    </row>
    <row r="26" customFormat="false" ht="49.5" hidden="false" customHeight="true" outlineLevel="0" collapsed="false">
      <c r="A26" s="29" t="s">
        <v>105</v>
      </c>
      <c r="B26" s="30" t="s">
        <v>106</v>
      </c>
      <c r="C26" s="31" t="s">
        <v>107</v>
      </c>
    </row>
    <row r="27" customFormat="false" ht="49.5" hidden="false" customHeight="true" outlineLevel="0" collapsed="false">
      <c r="A27" s="27" t="s">
        <v>108</v>
      </c>
      <c r="B27" s="28" t="s">
        <v>109</v>
      </c>
      <c r="C27" s="28" t="s">
        <v>110</v>
      </c>
    </row>
  </sheetData>
  <mergeCells count="5">
    <mergeCell ref="A1:H1"/>
    <mergeCell ref="A2:H2"/>
    <mergeCell ref="A4:D4"/>
    <mergeCell ref="A14:E14"/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2026-04-01T16:27:32Z</dcterms:created>
  <dc:creator>openpyxl</dc:creator>
  <dc:description/>
  <dc:language>en-US</dc:language>
  <cp:lastModifiedBy/>
  <dcterms:modified xsi:type="dcterms:W3CDTF">2026-04-01T16:27:56Z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